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7EFF1EEE-BB7C-4FA3-8A70-516D4CB59187}" xr6:coauthVersionLast="47" xr6:coauthVersionMax="47" xr10:uidLastSave="{00000000-0000-0000-0000-000000000000}"/>
  <bookViews>
    <workbookView xWindow="28680" yWindow="105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3" i="2"/>
  <c r="F19" i="2" l="1"/>
</calcChain>
</file>

<file path=xl/sharedStrings.xml><?xml version="1.0" encoding="utf-8"?>
<sst xmlns="http://schemas.openxmlformats.org/spreadsheetml/2006/main" count="76" uniqueCount="64">
  <si>
    <t>Job #</t>
  </si>
  <si>
    <t>Job Cmpl?</t>
  </si>
  <si>
    <t>Job Closed?</t>
  </si>
  <si>
    <t>Part #</t>
  </si>
  <si>
    <t>Last Cmpl Asm #</t>
  </si>
  <si>
    <t>Order</t>
  </si>
  <si>
    <t>Opr: 190</t>
  </si>
  <si>
    <t>GHELP</t>
  </si>
  <si>
    <t>CREW SIZE</t>
  </si>
  <si>
    <t>EST. HOURS</t>
  </si>
  <si>
    <t>RATE</t>
  </si>
  <si>
    <t>PLANNED COST (EPICOR REFERS TO THIS AS "ESTIMATED")</t>
  </si>
  <si>
    <t>Opr: 200</t>
  </si>
  <si>
    <t>IPIN</t>
  </si>
  <si>
    <t>Opr: 210</t>
  </si>
  <si>
    <t>Opr: 220</t>
  </si>
  <si>
    <t>Opr: 230</t>
  </si>
  <si>
    <t>DATA</t>
  </si>
  <si>
    <t>TOTAL:</t>
  </si>
  <si>
    <t>Last Cmpl 
Opr #</t>
  </si>
  <si>
    <t># Last Cmpl 
Op Qty</t>
  </si>
  <si>
    <t>Prod. 
Qty</t>
  </si>
  <si>
    <t>Planned 
Mtl</t>
  </si>
  <si>
    <t>Planned 
Labor</t>
  </si>
  <si>
    <t>Planned 
Burden</t>
  </si>
  <si>
    <r>
      <rPr>
        <b/>
        <sz val="11"/>
        <color theme="1"/>
        <rFont val="Aptos Narrow"/>
        <family val="2"/>
        <scheme val="minor"/>
      </rPr>
      <t xml:space="preserve">Estimated Cost for Remaining Operations
</t>
    </r>
    <r>
      <rPr>
        <b/>
        <sz val="8"/>
        <color theme="1"/>
        <rFont val="Aptos Narrow"/>
        <family val="2"/>
        <scheme val="minor"/>
      </rPr>
      <t>(aka Planned Cost for remaining Ops)</t>
    </r>
  </si>
  <si>
    <r>
      <rPr>
        <b/>
        <sz val="11"/>
        <color theme="1"/>
        <rFont val="Aptos Narrow"/>
        <family val="2"/>
        <scheme val="minor"/>
      </rPr>
      <t>Projected Cost</t>
    </r>
    <r>
      <rPr>
        <b/>
        <sz val="9"/>
        <color theme="1"/>
        <rFont val="Aptos Narrow"/>
        <family val="2"/>
        <scheme val="minor"/>
      </rPr>
      <t xml:space="preserve"> 
(sum column J + column O)</t>
    </r>
  </si>
  <si>
    <t>Planned 
Subcontract</t>
  </si>
  <si>
    <r>
      <rPr>
        <b/>
        <sz val="11"/>
        <color theme="1"/>
        <rFont val="Aptos Narrow"/>
        <family val="2"/>
        <scheme val="minor"/>
      </rPr>
      <t xml:space="preserve">Delta </t>
    </r>
    <r>
      <rPr>
        <b/>
        <sz val="9"/>
        <color theme="1"/>
        <rFont val="Aptos Narrow"/>
        <family val="2"/>
        <scheme val="minor"/>
      </rPr>
      <t xml:space="preserve">
(Estimated - 
(Actual + Remaining))
or
(Planned - Projected)</t>
    </r>
  </si>
  <si>
    <t>Opr: 191</t>
  </si>
  <si>
    <t>Opr: 192</t>
  </si>
  <si>
    <t>Opr: 193</t>
  </si>
  <si>
    <t>Opr: 194</t>
  </si>
  <si>
    <t>Opr: 195</t>
  </si>
  <si>
    <t>Opr: 196</t>
  </si>
  <si>
    <t>Opr: 197</t>
  </si>
  <si>
    <t>Opr: 198</t>
  </si>
  <si>
    <t>Opr: 199</t>
  </si>
  <si>
    <t>SPIN2</t>
  </si>
  <si>
    <t>Opr: 201</t>
  </si>
  <si>
    <t>Opr: 205</t>
  </si>
  <si>
    <t>Est. Prod Hours</t>
  </si>
  <si>
    <t>Est. Burden Cost</t>
  </si>
  <si>
    <t>For remaining Operations on Job # 000023597</t>
  </si>
  <si>
    <t>Remaining Mtl</t>
  </si>
  <si>
    <t>Remaining Labor</t>
  </si>
  <si>
    <t>Remaining Burden</t>
  </si>
  <si>
    <r>
      <t xml:space="preserve">Actual 
Total
</t>
    </r>
    <r>
      <rPr>
        <b/>
        <sz val="8"/>
        <color theme="1"/>
        <rFont val="Aptos Narrow"/>
        <family val="2"/>
        <scheme val="minor"/>
      </rPr>
      <t>(sum of 
column K+L+M+N)</t>
    </r>
  </si>
  <si>
    <t>Actual 
Mtl</t>
  </si>
  <si>
    <t>Actual 
Labor</t>
  </si>
  <si>
    <t>Actual Burden</t>
  </si>
  <si>
    <t>Actual Subcontract</t>
  </si>
  <si>
    <t>Remaining Subcontract</t>
  </si>
  <si>
    <r>
      <t xml:space="preserve">Estimated
Total
</t>
    </r>
    <r>
      <rPr>
        <b/>
        <sz val="9"/>
        <color theme="1"/>
        <rFont val="Aptos Narrow"/>
        <family val="2"/>
        <scheme val="minor"/>
      </rPr>
      <t>(aka Planned cost)</t>
    </r>
  </si>
  <si>
    <t>JOB INFORMATION</t>
  </si>
  <si>
    <t>Delta
Mtl</t>
  </si>
  <si>
    <t>Delta
Labor</t>
  </si>
  <si>
    <t>Delta
Burden</t>
  </si>
  <si>
    <t>Delta
Subcontract</t>
  </si>
  <si>
    <t>ESTIMATED REMAINING COSTS</t>
  </si>
  <si>
    <t>PROJECTED COSTS</t>
  </si>
  <si>
    <t>ACTUAL COSTS</t>
  </si>
  <si>
    <t>COST DELTA</t>
  </si>
  <si>
    <t>ESTIMATED / PLANNED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</si>
</sst>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CA8D-1E14-4427-B547-BA9E495B189C}">
  <dimension ref="A1:AD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4" sqref="A14"/>
    </sheetView>
  </sheetViews>
  <sheetFormatPr defaultRowHeight="15" x14ac:dyDescent="0.25"/>
  <cols>
    <col min="1" max="1" width="22.5703125" customWidth="1"/>
    <col min="2" max="3" width="12.5703125" customWidth="1"/>
    <col min="4" max="4" width="10.28515625" customWidth="1"/>
    <col min="5" max="5" width="15" customWidth="1"/>
    <col min="6" max="6" width="9.140625" customWidth="1"/>
    <col min="7" max="9" width="9" customWidth="1"/>
    <col min="10" max="10" width="15.42578125" style="2" customWidth="1"/>
    <col min="11" max="15" width="12.5703125" customWidth="1"/>
    <col min="16" max="16" width="23.28515625" customWidth="1"/>
    <col min="17" max="17" width="11.5703125" customWidth="1"/>
    <col min="18" max="18" width="12.42578125" customWidth="1"/>
    <col min="19" max="19" width="14.28515625" customWidth="1"/>
    <col min="20" max="20" width="18.42578125" style="2" bestFit="1" customWidth="1"/>
    <col min="21" max="21" width="16.28515625" customWidth="1"/>
    <col min="22" max="22" width="19.7109375" customWidth="1"/>
    <col min="23" max="23" width="15.28515625" customWidth="1"/>
    <col min="24" max="24" width="11.28515625" customWidth="1"/>
    <col min="25" max="25" width="13.28515625" customWidth="1"/>
    <col min="26" max="26" width="15.5703125" style="2" customWidth="1"/>
    <col min="27" max="27" width="11.28515625" customWidth="1"/>
    <col min="28" max="28" width="12.28515625" customWidth="1"/>
    <col min="29" max="29" width="19.7109375" customWidth="1"/>
    <col min="30" max="30" width="12.28515625" customWidth="1"/>
    <col min="33" max="33" width="10.42578125" customWidth="1"/>
    <col min="34" max="34" width="17.140625" customWidth="1"/>
  </cols>
  <sheetData>
    <row r="1" spans="1:30" s="2" customFormat="1" ht="15.75" customHeight="1" thickBot="1" x14ac:dyDescent="0.3">
      <c r="A1" s="8"/>
      <c r="B1" s="26" t="s">
        <v>54</v>
      </c>
      <c r="C1" s="26"/>
      <c r="D1" s="26"/>
      <c r="E1" s="26"/>
      <c r="F1" s="26"/>
      <c r="G1" s="26"/>
      <c r="H1" s="26"/>
      <c r="I1" s="26"/>
      <c r="J1" s="20" t="s">
        <v>61</v>
      </c>
      <c r="K1" s="21"/>
      <c r="L1" s="21"/>
      <c r="M1" s="21"/>
      <c r="N1" s="22"/>
      <c r="O1" s="20" t="s">
        <v>59</v>
      </c>
      <c r="P1" s="21"/>
      <c r="Q1" s="21"/>
      <c r="R1" s="21"/>
      <c r="S1" s="22"/>
      <c r="T1" s="15" t="s">
        <v>60</v>
      </c>
      <c r="U1" s="21" t="s">
        <v>63</v>
      </c>
      <c r="V1" s="21"/>
      <c r="W1" s="21"/>
      <c r="X1" s="21"/>
      <c r="Y1" s="22"/>
      <c r="Z1" s="23" t="s">
        <v>62</v>
      </c>
      <c r="AA1" s="24"/>
      <c r="AB1" s="24"/>
      <c r="AC1" s="24"/>
      <c r="AD1" s="25"/>
    </row>
    <row r="2" spans="1:30" s="2" customFormat="1" ht="94.5" customHeight="1" thickBot="1" x14ac:dyDescent="0.3">
      <c r="A2" s="19" t="s">
        <v>0</v>
      </c>
      <c r="B2" s="13" t="s">
        <v>1</v>
      </c>
      <c r="C2" s="14" t="s">
        <v>2</v>
      </c>
      <c r="D2" s="14" t="s">
        <v>5</v>
      </c>
      <c r="E2" s="14" t="s">
        <v>3</v>
      </c>
      <c r="F2" s="10" t="s">
        <v>21</v>
      </c>
      <c r="G2" s="10" t="s">
        <v>20</v>
      </c>
      <c r="H2" s="10" t="s">
        <v>4</v>
      </c>
      <c r="I2" s="11" t="s">
        <v>19</v>
      </c>
      <c r="J2" s="18" t="s">
        <v>47</v>
      </c>
      <c r="K2" s="10" t="s">
        <v>48</v>
      </c>
      <c r="L2" s="10" t="s">
        <v>49</v>
      </c>
      <c r="M2" s="10" t="s">
        <v>50</v>
      </c>
      <c r="N2" s="11" t="s">
        <v>51</v>
      </c>
      <c r="O2" s="17" t="s">
        <v>25</v>
      </c>
      <c r="P2" s="10" t="s">
        <v>44</v>
      </c>
      <c r="Q2" s="10" t="s">
        <v>45</v>
      </c>
      <c r="R2" s="10" t="s">
        <v>46</v>
      </c>
      <c r="S2" s="10" t="s">
        <v>52</v>
      </c>
      <c r="T2" s="12" t="s">
        <v>26</v>
      </c>
      <c r="U2" s="9" t="s">
        <v>53</v>
      </c>
      <c r="V2" s="10" t="s">
        <v>22</v>
      </c>
      <c r="W2" s="10" t="s">
        <v>23</v>
      </c>
      <c r="X2" s="10" t="s">
        <v>24</v>
      </c>
      <c r="Y2" s="11" t="s">
        <v>27</v>
      </c>
      <c r="Z2" s="12" t="s">
        <v>28</v>
      </c>
      <c r="AA2" s="16" t="s">
        <v>55</v>
      </c>
      <c r="AB2" s="10" t="s">
        <v>56</v>
      </c>
      <c r="AC2" s="10" t="s">
        <v>57</v>
      </c>
      <c r="AD2" s="11" t="s">
        <v>58</v>
      </c>
    </row>
  </sheetData>
  <mergeCells count="5">
    <mergeCell ref="O1:S1"/>
    <mergeCell ref="Z1:AD1"/>
    <mergeCell ref="U1:Y1"/>
    <mergeCell ref="B1:I1"/>
    <mergeCell ref="J1:N1"/>
  </mergeCells>
  <phoneticPr fontId="6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0E3C-A977-4AF2-AC26-07183A2ED38B}">
  <dimension ref="A1:H19"/>
  <sheetViews>
    <sheetView workbookViewId="0">
      <selection activeCell="G25" sqref="F25:G25"/>
    </sheetView>
  </sheetViews>
  <sheetFormatPr defaultColWidth="8.85546875" defaultRowHeight="15" x14ac:dyDescent="0.25"/>
  <cols>
    <col min="1" max="14" width="10.7109375" style="1" customWidth="1"/>
    <col min="15" max="16384" width="8.85546875" style="1"/>
  </cols>
  <sheetData>
    <row r="1" spans="1:8" x14ac:dyDescent="0.25">
      <c r="A1" s="7" t="s">
        <v>43</v>
      </c>
    </row>
    <row r="2" spans="1:8" s="3" customFormat="1" ht="57.6" customHeight="1" x14ac:dyDescent="0.2">
      <c r="C2" s="3" t="s">
        <v>8</v>
      </c>
      <c r="D2" s="3" t="s">
        <v>9</v>
      </c>
      <c r="E2" s="3" t="s">
        <v>10</v>
      </c>
      <c r="F2" s="5" t="s">
        <v>11</v>
      </c>
      <c r="G2" s="3" t="s">
        <v>41</v>
      </c>
      <c r="H2" s="3" t="s">
        <v>42</v>
      </c>
    </row>
    <row r="3" spans="1:8" x14ac:dyDescent="0.25">
      <c r="A3" s="1" t="s">
        <v>6</v>
      </c>
      <c r="B3" s="1" t="s">
        <v>7</v>
      </c>
      <c r="C3" s="4">
        <v>1</v>
      </c>
      <c r="D3" s="4">
        <v>0.5</v>
      </c>
      <c r="E3" s="4">
        <v>30</v>
      </c>
      <c r="F3" s="4">
        <f>C3*D3*E3</f>
        <v>15</v>
      </c>
      <c r="G3" s="1">
        <v>0.5</v>
      </c>
      <c r="H3" s="1">
        <v>123.2</v>
      </c>
    </row>
    <row r="4" spans="1:8" x14ac:dyDescent="0.25">
      <c r="A4" s="1" t="s">
        <v>29</v>
      </c>
      <c r="B4" s="1" t="s">
        <v>13</v>
      </c>
      <c r="C4" s="4">
        <v>1</v>
      </c>
      <c r="D4" s="4">
        <v>0</v>
      </c>
      <c r="E4" s="4">
        <v>30</v>
      </c>
      <c r="F4" s="4">
        <f t="shared" ref="F4:F18" si="0">C4*D4*E4</f>
        <v>0</v>
      </c>
      <c r="G4" s="1">
        <v>0</v>
      </c>
      <c r="H4" s="1">
        <v>0</v>
      </c>
    </row>
    <row r="5" spans="1:8" x14ac:dyDescent="0.25">
      <c r="A5" s="1" t="s">
        <v>30</v>
      </c>
      <c r="B5" s="1" t="s">
        <v>7</v>
      </c>
      <c r="C5" s="4">
        <v>1</v>
      </c>
      <c r="D5" s="4">
        <v>0</v>
      </c>
      <c r="E5" s="4">
        <v>30</v>
      </c>
      <c r="F5" s="4">
        <f t="shared" si="0"/>
        <v>0</v>
      </c>
      <c r="G5" s="1">
        <v>0</v>
      </c>
      <c r="H5" s="1">
        <v>0</v>
      </c>
    </row>
    <row r="6" spans="1:8" x14ac:dyDescent="0.25">
      <c r="A6" s="1" t="s">
        <v>31</v>
      </c>
      <c r="B6" s="1" t="s">
        <v>38</v>
      </c>
      <c r="C6" s="4">
        <v>1</v>
      </c>
      <c r="D6" s="4">
        <v>0</v>
      </c>
      <c r="E6" s="4">
        <v>38</v>
      </c>
      <c r="F6" s="4">
        <f t="shared" si="0"/>
        <v>0</v>
      </c>
      <c r="G6" s="1">
        <v>0</v>
      </c>
      <c r="H6" s="1">
        <v>0</v>
      </c>
    </row>
    <row r="7" spans="1:8" x14ac:dyDescent="0.25">
      <c r="A7" s="1" t="s">
        <v>32</v>
      </c>
      <c r="B7" s="1" t="s">
        <v>38</v>
      </c>
      <c r="C7" s="4">
        <v>1</v>
      </c>
      <c r="D7" s="4">
        <v>0</v>
      </c>
      <c r="E7" s="4">
        <v>38</v>
      </c>
      <c r="F7" s="4">
        <f t="shared" si="0"/>
        <v>0</v>
      </c>
      <c r="G7" s="1">
        <v>0</v>
      </c>
      <c r="H7" s="1">
        <v>0</v>
      </c>
    </row>
    <row r="8" spans="1:8" x14ac:dyDescent="0.25">
      <c r="A8" s="1" t="s">
        <v>33</v>
      </c>
      <c r="B8" s="1" t="s">
        <v>38</v>
      </c>
      <c r="C8" s="4">
        <v>1</v>
      </c>
      <c r="D8" s="4">
        <v>0</v>
      </c>
      <c r="E8" s="4">
        <v>38</v>
      </c>
      <c r="F8" s="4">
        <f t="shared" si="0"/>
        <v>0</v>
      </c>
      <c r="G8" s="1">
        <v>0</v>
      </c>
      <c r="H8" s="1">
        <v>0</v>
      </c>
    </row>
    <row r="9" spans="1:8" x14ac:dyDescent="0.25">
      <c r="A9" s="1" t="s">
        <v>34</v>
      </c>
      <c r="B9" s="1" t="s">
        <v>38</v>
      </c>
      <c r="C9" s="4">
        <v>1</v>
      </c>
      <c r="D9" s="4">
        <v>0</v>
      </c>
      <c r="E9" s="4">
        <v>38</v>
      </c>
      <c r="F9" s="4">
        <f t="shared" si="0"/>
        <v>0</v>
      </c>
      <c r="G9" s="1">
        <v>0</v>
      </c>
      <c r="H9" s="1">
        <v>0</v>
      </c>
    </row>
    <row r="10" spans="1:8" x14ac:dyDescent="0.25">
      <c r="A10" s="1" t="s">
        <v>35</v>
      </c>
      <c r="B10" s="1" t="s">
        <v>38</v>
      </c>
      <c r="C10" s="4">
        <v>1</v>
      </c>
      <c r="D10" s="4">
        <v>0</v>
      </c>
      <c r="E10" s="4">
        <v>38</v>
      </c>
      <c r="F10" s="4">
        <f t="shared" si="0"/>
        <v>0</v>
      </c>
      <c r="G10" s="1">
        <v>0</v>
      </c>
      <c r="H10" s="1">
        <v>0</v>
      </c>
    </row>
    <row r="11" spans="1:8" x14ac:dyDescent="0.25">
      <c r="A11" s="1" t="s">
        <v>36</v>
      </c>
      <c r="B11" s="1" t="s">
        <v>38</v>
      </c>
      <c r="C11" s="4">
        <v>1</v>
      </c>
      <c r="D11" s="4">
        <v>0</v>
      </c>
      <c r="E11" s="4">
        <v>38</v>
      </c>
      <c r="F11" s="4">
        <f t="shared" si="0"/>
        <v>0</v>
      </c>
      <c r="G11" s="1">
        <v>0</v>
      </c>
      <c r="H11" s="1">
        <v>0</v>
      </c>
    </row>
    <row r="12" spans="1:8" x14ac:dyDescent="0.25">
      <c r="A12" s="1" t="s">
        <v>37</v>
      </c>
      <c r="B12" s="1" t="s">
        <v>13</v>
      </c>
      <c r="C12" s="4">
        <v>1</v>
      </c>
      <c r="D12" s="4">
        <v>0</v>
      </c>
      <c r="E12" s="4">
        <v>30</v>
      </c>
      <c r="F12" s="4">
        <f t="shared" si="0"/>
        <v>0</v>
      </c>
      <c r="G12" s="1">
        <v>0</v>
      </c>
      <c r="H12" s="1">
        <v>0</v>
      </c>
    </row>
    <row r="13" spans="1:8" x14ac:dyDescent="0.25">
      <c r="A13" s="1" t="s">
        <v>12</v>
      </c>
      <c r="B13" s="1" t="s">
        <v>13</v>
      </c>
      <c r="C13" s="4">
        <v>1</v>
      </c>
      <c r="D13" s="4">
        <v>0</v>
      </c>
      <c r="E13" s="4">
        <v>30</v>
      </c>
      <c r="F13" s="4">
        <f t="shared" si="0"/>
        <v>0</v>
      </c>
      <c r="G13" s="1">
        <v>0</v>
      </c>
      <c r="H13" s="1">
        <v>0</v>
      </c>
    </row>
    <row r="14" spans="1:8" x14ac:dyDescent="0.25">
      <c r="A14" s="1" t="s">
        <v>39</v>
      </c>
      <c r="B14" s="1" t="s">
        <v>7</v>
      </c>
      <c r="C14" s="4">
        <v>1</v>
      </c>
      <c r="D14" s="4">
        <v>0</v>
      </c>
      <c r="E14" s="4">
        <v>30</v>
      </c>
      <c r="F14" s="4">
        <f t="shared" si="0"/>
        <v>0</v>
      </c>
      <c r="G14" s="1">
        <v>0</v>
      </c>
      <c r="H14" s="1">
        <v>0</v>
      </c>
    </row>
    <row r="15" spans="1:8" x14ac:dyDescent="0.25">
      <c r="A15" s="1" t="s">
        <v>40</v>
      </c>
      <c r="B15" s="1" t="s">
        <v>13</v>
      </c>
      <c r="C15" s="4">
        <v>1</v>
      </c>
      <c r="D15" s="4">
        <v>0.5</v>
      </c>
      <c r="E15" s="4">
        <v>30</v>
      </c>
      <c r="F15" s="4">
        <f t="shared" si="0"/>
        <v>15</v>
      </c>
      <c r="G15" s="1">
        <v>0.5</v>
      </c>
      <c r="H15" s="1">
        <v>123.2</v>
      </c>
    </row>
    <row r="16" spans="1:8" x14ac:dyDescent="0.25">
      <c r="A16" s="1" t="s">
        <v>14</v>
      </c>
      <c r="B16" s="1" t="s">
        <v>13</v>
      </c>
      <c r="C16" s="4">
        <v>1</v>
      </c>
      <c r="D16" s="4">
        <v>1</v>
      </c>
      <c r="E16" s="4">
        <v>30</v>
      </c>
      <c r="F16" s="4">
        <f t="shared" si="0"/>
        <v>30</v>
      </c>
      <c r="G16" s="1">
        <v>1</v>
      </c>
      <c r="H16" s="1">
        <v>246.4</v>
      </c>
    </row>
    <row r="17" spans="1:8" x14ac:dyDescent="0.25">
      <c r="A17" s="1" t="s">
        <v>15</v>
      </c>
      <c r="B17" s="1" t="s">
        <v>17</v>
      </c>
      <c r="C17" s="4">
        <v>1</v>
      </c>
      <c r="D17" s="4">
        <v>0.5</v>
      </c>
      <c r="E17" s="4">
        <v>30</v>
      </c>
      <c r="F17" s="4">
        <f t="shared" si="0"/>
        <v>15</v>
      </c>
      <c r="G17" s="1">
        <v>0.5</v>
      </c>
      <c r="H17" s="1">
        <v>123.2</v>
      </c>
    </row>
    <row r="18" spans="1:8" x14ac:dyDescent="0.25">
      <c r="A18" s="1" t="s">
        <v>16</v>
      </c>
      <c r="B18" s="1" t="s">
        <v>17</v>
      </c>
      <c r="C18" s="4">
        <v>1</v>
      </c>
      <c r="D18" s="4">
        <v>0.5</v>
      </c>
      <c r="E18" s="4">
        <v>30</v>
      </c>
      <c r="F18" s="4">
        <f t="shared" si="0"/>
        <v>15</v>
      </c>
      <c r="G18" s="1">
        <v>0.5</v>
      </c>
      <c r="H18" s="1">
        <v>123.2</v>
      </c>
    </row>
    <row r="19" spans="1:8" x14ac:dyDescent="0.25">
      <c r="E19" s="6" t="s">
        <v>18</v>
      </c>
      <c r="F19" s="4">
        <f>SUM(F3:F18)</f>
        <v>90</v>
      </c>
      <c r="H19" s="1">
        <f>SUM(H3:H18)</f>
        <v>739.2</v>
      </c>
    </row>
  </sheetData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db1108-4251-468d-81e5-91ab9e6376c4}" enabled="0" method="" siteId="{25db1108-4251-468d-81e5-91ab9e6376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Dudzik, Jeff</dc:creator>
  <cp:lastModifiedBy>Langland, Blake</cp:lastModifiedBy>
  <dcterms:created xsi:type="dcterms:W3CDTF">2026-09-14T14:00:47Z</dcterms:created>
  <dcterms:modified xsi:type="dcterms:W3CDTF">2026-10-13T16:20:18Z</dcterms:modified>
</cp:coreProperties>
</file>